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89\Downloads\"/>
    </mc:Choice>
  </mc:AlternateContent>
  <xr:revisionPtr revIDLastSave="0" documentId="13_ncr:1_{306D8131-F723-484E-A6E0-E6600CF57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</sheets>
  <calcPr calcId="191029"/>
</workbook>
</file>

<file path=xl/calcChain.xml><?xml version="1.0" encoding="utf-8"?>
<calcChain xmlns="http://schemas.openxmlformats.org/spreadsheetml/2006/main">
  <c r="C15" i="1" l="1"/>
  <c r="C14" i="1"/>
  <c r="C13" i="1"/>
  <c r="D5" i="2"/>
  <c r="D4" i="2"/>
  <c r="D3" i="2"/>
  <c r="D2" i="2"/>
  <c r="C12" i="1"/>
</calcChain>
</file>

<file path=xl/sharedStrings.xml><?xml version="1.0" encoding="utf-8"?>
<sst xmlns="http://schemas.openxmlformats.org/spreadsheetml/2006/main" count="29" uniqueCount="23">
  <si>
    <t>ticket_id</t>
  </si>
  <si>
    <t>created_at</t>
  </si>
  <si>
    <t>closed_at</t>
  </si>
  <si>
    <t>outlet_id</t>
  </si>
  <si>
    <t>cms_id</t>
  </si>
  <si>
    <t>isu-sjd-457</t>
  </si>
  <si>
    <t>out-001</t>
  </si>
  <si>
    <t>vew-iuvd-12</t>
  </si>
  <si>
    <t>qer-fal-092</t>
  </si>
  <si>
    <t>out-002</t>
  </si>
  <si>
    <t>cms-002</t>
  </si>
  <si>
    <t>abc-123-xyz</t>
  </si>
  <si>
    <t>cms-003</t>
  </si>
  <si>
    <t>def-456-uvw</t>
  </si>
  <si>
    <t>out-003</t>
  </si>
  <si>
    <t>cms-004</t>
  </si>
  <si>
    <t>feedback_at</t>
  </si>
  <si>
    <t>feedback_rating</t>
  </si>
  <si>
    <t>ticket_created_at</t>
  </si>
  <si>
    <r>
      <t xml:space="preserve">Q1: Populate </t>
    </r>
    <r>
      <rPr>
        <sz val="10"/>
        <color theme="1"/>
        <rFont val="Arial Unicode MS"/>
      </rPr>
      <t>ticket_created_at</t>
    </r>
  </si>
  <si>
    <t>Q2: Same Day</t>
  </si>
  <si>
    <t>Same Hour</t>
  </si>
  <si>
    <t>Count Outlet-wise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</si>
</sst>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0" sqref="E10"/>
    </sheetView>
  </sheetViews>
  <sheetFormatPr defaultRowHeight="14.4"/>
  <cols>
    <col min="1" max="1" width="20" customWidth="1"/>
    <col min="2" max="2" width="31.44140625" customWidth="1"/>
    <col min="3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44427.698414351849</v>
      </c>
      <c r="C2" s="2">
        <v>44430.523287037038</v>
      </c>
      <c r="D2" t="s">
        <v>6</v>
      </c>
      <c r="E2" t="s">
        <v>7</v>
      </c>
    </row>
    <row r="3" spans="1:5">
      <c r="A3" t="s">
        <v>8</v>
      </c>
      <c r="B3" s="2">
        <v>44429.464837962973</v>
      </c>
      <c r="C3" s="2">
        <v>44429.717881944453</v>
      </c>
      <c r="D3" t="s">
        <v>9</v>
      </c>
      <c r="E3" t="s">
        <v>10</v>
      </c>
    </row>
    <row r="4" spans="1:5">
      <c r="A4" t="s">
        <v>11</v>
      </c>
      <c r="B4" s="2">
        <v>44429.416666666657</v>
      </c>
      <c r="C4" s="2">
        <v>44429.447916666657</v>
      </c>
      <c r="D4" t="s">
        <v>6</v>
      </c>
      <c r="E4" t="s">
        <v>12</v>
      </c>
    </row>
    <row r="5" spans="1:5">
      <c r="A5" t="s">
        <v>13</v>
      </c>
      <c r="B5" s="2">
        <v>44430.395833333343</v>
      </c>
      <c r="C5" s="2">
        <v>44431.395833333343</v>
      </c>
      <c r="D5" t="s">
        <v>14</v>
      </c>
      <c r="E5" t="s">
        <v>15</v>
      </c>
    </row>
    <row r="12" spans="1:5">
      <c r="B12" t="s">
        <v>19</v>
      </c>
      <c r="C12" t="e">
        <f>VLOOKUP(A2, ticket!B:E, 2, FALSE)</f>
        <v>#N/A</v>
      </c>
    </row>
    <row r="13" spans="1:5">
      <c r="B13" t="s">
        <v>20</v>
      </c>
      <c r="C13" t="str">
        <f>IF(INT(B2)=INT(C2),"Yes","No")</f>
        <v>No</v>
      </c>
    </row>
    <row r="14" spans="1:5">
      <c r="B14" t="s">
        <v>21</v>
      </c>
      <c r="C14" t="str">
        <f>IF(AND(INT(B2)=INT(C2),HOUR(B2)=HOUR(C2)),"Yes","No")</f>
        <v>No</v>
      </c>
    </row>
    <row r="15" spans="1:5">
      <c r="B15" t="s">
        <v>22</v>
      </c>
      <c r="C15">
        <f>COUNTIFS(D:D,"Yes",E:E,"Yes")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8" sqref="B8"/>
    </sheetView>
  </sheetViews>
  <sheetFormatPr defaultRowHeight="14.4"/>
  <cols>
    <col min="1" max="4" width="25" customWidth="1"/>
  </cols>
  <sheetData>
    <row r="1" spans="1:4">
      <c r="A1" s="1" t="s">
        <v>4</v>
      </c>
      <c r="B1" s="1" t="s">
        <v>16</v>
      </c>
      <c r="C1" s="1" t="s">
        <v>17</v>
      </c>
      <c r="D1" s="1" t="s">
        <v>18</v>
      </c>
    </row>
    <row r="2" spans="1:4">
      <c r="A2" t="s">
        <v>7</v>
      </c>
      <c r="B2" s="2">
        <v>44429.560277777768</v>
      </c>
      <c r="C2">
        <v>3</v>
      </c>
      <c r="D2" t="e">
        <f>VLOOKUP(A2,ticket!B:E,2,FALSE)</f>
        <v>#N/A</v>
      </c>
    </row>
    <row r="3" spans="1:4">
      <c r="A3" t="s">
        <v>10</v>
      </c>
      <c r="B3" s="2">
        <v>44429.75</v>
      </c>
      <c r="C3">
        <v>4</v>
      </c>
      <c r="D3" t="e">
        <f>VLOOKUP(A3,ticket!B:E,2,FALSE)</f>
        <v>#N/A</v>
      </c>
    </row>
    <row r="4" spans="1:4">
      <c r="A4" t="s">
        <v>12</v>
      </c>
      <c r="B4" s="2">
        <v>44429.458333333343</v>
      </c>
      <c r="C4">
        <v>5</v>
      </c>
      <c r="D4" t="e">
        <f>VLOOKUP(A4,ticket!B:E,2,FALSE)</f>
        <v>#N/A</v>
      </c>
    </row>
    <row r="5" spans="1:4">
      <c r="A5" t="s">
        <v>15</v>
      </c>
      <c r="B5" s="2">
        <v>44431.416666666657</v>
      </c>
      <c r="C5">
        <v>2</v>
      </c>
      <c r="D5" t="e">
        <f>VLOOKUP(A5,ticket!B:E,2,FALSE)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Biguvu Yuva teja</cp:lastModifiedBy>
  <dcterms:created xsi:type="dcterms:W3CDTF">2026-04-08T13:19:53Z</dcterms:created>
  <dcterms:modified xsi:type="dcterms:W3CDTF">2026-04-09T13:49:29Z</dcterms:modified>
</cp:coreProperties>
</file>